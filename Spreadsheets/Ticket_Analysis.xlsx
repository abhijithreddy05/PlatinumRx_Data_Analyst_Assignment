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" sheetId="1" state="visible" r:id="rId1"/>
    <sheet name="feedbacks" sheetId="2" state="visible" r:id="rId2"/>
    <sheet name="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created_at</t>
        </is>
      </c>
      <c r="C1" t="inlineStr">
        <is>
          <t>closed_at</t>
        </is>
      </c>
      <c r="D1" t="inlineStr">
        <is>
          <t>outlet_id</t>
        </is>
      </c>
      <c r="E1" t="inlineStr">
        <is>
          <t>cms_id</t>
        </is>
      </c>
      <c r="F1" t="inlineStr">
        <is>
          <t>Same Day?</t>
        </is>
      </c>
      <c r="G1" t="inlineStr">
        <is>
          <t>Same Hour?</t>
        </is>
      </c>
    </row>
    <row r="2">
      <c r="A2" t="inlineStr">
        <is>
          <t>isu-sjd-457</t>
        </is>
      </c>
      <c r="B2" t="inlineStr">
        <is>
          <t>2021-08-19 16:45:43</t>
        </is>
      </c>
      <c r="C2" t="inlineStr">
        <is>
          <t>2021-08-22 12:33:32</t>
        </is>
      </c>
      <c r="D2" t="inlineStr">
        <is>
          <t>wrqy-juv-978</t>
        </is>
      </c>
      <c r="E2" t="inlineStr">
        <is>
          <t>vew-iuvd-12</t>
        </is>
      </c>
      <c r="F2">
        <f>LEFT(B2,10)=LEFT(C2,10)</f>
        <v/>
      </c>
      <c r="G2">
        <f>MID(B2,12,2)=MID(C2,12,2)</f>
        <v/>
      </c>
    </row>
    <row r="3">
      <c r="A3" t="inlineStr">
        <is>
          <t>qer-fal-092</t>
        </is>
      </c>
      <c r="B3" t="inlineStr">
        <is>
          <t>2021-08-21 11:09:22</t>
        </is>
      </c>
      <c r="C3" t="inlineStr">
        <is>
          <t>2021-08-21 17:13:45</t>
        </is>
      </c>
      <c r="D3" t="inlineStr">
        <is>
          <t>8woh-k3u-23b</t>
        </is>
      </c>
      <c r="E3" t="inlineStr">
        <is>
          <t>id-1</t>
        </is>
      </c>
      <c r="F3">
        <f>LEFT(B3,10)=LEFT(C3,10)</f>
        <v/>
      </c>
      <c r="G3">
        <f>MID(B3,12,2)=MID(C3,12,2)</f>
        <v/>
      </c>
    </row>
    <row r="4">
      <c r="A4" t="inlineStr">
        <is>
          <t>tkt-123</t>
        </is>
      </c>
      <c r="B4" t="inlineStr">
        <is>
          <t>2021-09-01 10:15:00</t>
        </is>
      </c>
      <c r="C4" t="inlineStr">
        <is>
          <t>2021-09-01 10:45:00</t>
        </is>
      </c>
      <c r="D4" t="inlineStr">
        <is>
          <t>wrqy-juv-978</t>
        </is>
      </c>
      <c r="E4" t="inlineStr">
        <is>
          <t>id-2</t>
        </is>
      </c>
      <c r="F4">
        <f>LEFT(B4,10)=LEFT(C4,10)</f>
        <v/>
      </c>
      <c r="G4">
        <f>MID(B4,12,2)=MID(C4,12,2)</f>
        <v/>
      </c>
    </row>
    <row r="5">
      <c r="A5" t="inlineStr">
        <is>
          <t>tkt-124</t>
        </is>
      </c>
      <c r="B5" t="inlineStr">
        <is>
          <t>2021-09-02 11:15:00</t>
        </is>
      </c>
      <c r="C5" t="inlineStr">
        <is>
          <t>2021-09-02 14:45:00</t>
        </is>
      </c>
      <c r="D5" t="inlineStr">
        <is>
          <t>wrqy-juv-978</t>
        </is>
      </c>
      <c r="E5" t="inlineStr">
        <is>
          <t>id-3</t>
        </is>
      </c>
      <c r="F5">
        <f>LEFT(B5,10)=LEFT(C5,10)</f>
        <v/>
      </c>
      <c r="G5">
        <f>MID(B5,12,2)=MID(C5,12,2)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cms_id</t>
        </is>
      </c>
      <c r="B1" t="inlineStr">
        <is>
          <t>feedback_at</t>
        </is>
      </c>
      <c r="C1" t="inlineStr">
        <is>
          <t>feedback_rating</t>
        </is>
      </c>
      <c r="D1" t="inlineStr">
        <is>
          <t>ticket_created_at</t>
        </is>
      </c>
    </row>
    <row r="2">
      <c r="A2" t="inlineStr">
        <is>
          <t>vew-iuvd-12</t>
        </is>
      </c>
      <c r="B2" t="inlineStr">
        <is>
          <t>2021-08-21 13:26:48</t>
        </is>
      </c>
      <c r="C2" t="n">
        <v>3</v>
      </c>
      <c r="D2">
        <f>INDEX(ticket!B:B, MATCH(A2, ticket!E:E, 0))</f>
        <v/>
      </c>
    </row>
    <row r="3">
      <c r="A3" t="inlineStr">
        <is>
          <t>id-1</t>
        </is>
      </c>
      <c r="B3" t="inlineStr">
        <is>
          <t>2021-08-22 10:00:00</t>
        </is>
      </c>
      <c r="C3" t="n">
        <v>4</v>
      </c>
      <c r="D3">
        <f>INDEX(ticket!B:B, MATCH(A3, ticket!E:E, 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outlet_id</t>
        </is>
      </c>
      <c r="B1" t="inlineStr">
        <is>
          <t>Tickets Same Day</t>
        </is>
      </c>
      <c r="C1" t="inlineStr">
        <is>
          <t>Tickets Same Hour</t>
        </is>
      </c>
    </row>
    <row r="2">
      <c r="A2" t="inlineStr">
        <is>
          <t>wrqy-juv-978</t>
        </is>
      </c>
      <c r="B2">
        <f>COUNTIFS(ticket!D:D, A2, ticket!F:F, TRUE)</f>
        <v/>
      </c>
      <c r="C2">
        <f>COUNTIFS(ticket!D:D, A2, ticket!G:G, TRUE)</f>
        <v/>
      </c>
    </row>
    <row r="3">
      <c r="A3" t="inlineStr">
        <is>
          <t>8woh-k3u-23b</t>
        </is>
      </c>
      <c r="B3">
        <f>COUNTIFS(ticket!D:D, A3, ticket!F:F, TRUE)</f>
        <v/>
      </c>
      <c r="C3">
        <f>COUNTIFS(ticket!D:D, A3, ticket!G:G, TRUE)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2026-04-09T06:27:59Z</dcterms:created>
  <dcterms:modified xsi:type="dcterms:W3CDTF">2026-04-09T06:27:59Z</dcterms:modified>
</cp:coreProperties>
</file>